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ama\Downloads\"/>
    </mc:Choice>
  </mc:AlternateContent>
  <xr:revisionPtr revIDLastSave="0" documentId="13_ncr:1_{AAE89634-933F-410F-B598-D3E1B365E3B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Tabla1" sheetId="14" r:id="rId1"/>
    <sheet name="Informe Ventas Embajada Rusia" sheetId="1" r:id="rId2"/>
  </sheets>
  <definedNames>
    <definedName name="DatosExternos_1" localSheetId="0" hidden="1">Tabla1!$A$1:$F$20</definedName>
    <definedName name="NativeTimeline_Fechas">#N/A</definedName>
  </definedNames>
  <calcPr calcId="191029"/>
  <pivotCaches>
    <pivotCache cacheId="188" r:id="rId3"/>
    <pivotCache cacheId="187" r:id="rId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0" i="1" l="1"/>
  <c r="F50" i="1"/>
  <c r="F2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30AE30-D4F9-46CD-99BC-7E6D3091A2DD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<sst xmlns="http://schemas.openxmlformats.org/spreadsheetml/2006/main" count="351" uniqueCount="47">
  <si>
    <t>Region</t>
  </si>
  <si>
    <t>Producto</t>
  </si>
  <si>
    <t>Vendedor</t>
  </si>
  <si>
    <t>Ventas</t>
  </si>
  <si>
    <t>Central</t>
  </si>
  <si>
    <t>Accesorios</t>
  </si>
  <si>
    <t>David</t>
  </si>
  <si>
    <t>Karen</t>
  </si>
  <si>
    <t>Dispositivos</t>
  </si>
  <si>
    <t>Sistemas</t>
  </si>
  <si>
    <t>Este</t>
  </si>
  <si>
    <t>Ana</t>
  </si>
  <si>
    <t>Lucas</t>
  </si>
  <si>
    <t>Oeste</t>
  </si>
  <si>
    <t>Kevin</t>
  </si>
  <si>
    <t>Sara</t>
  </si>
  <si>
    <t>Fechas</t>
  </si>
  <si>
    <t>Índice</t>
  </si>
  <si>
    <t>Vendedor 1</t>
  </si>
  <si>
    <t>Vendedor 2</t>
  </si>
  <si>
    <t>Vendedor 3</t>
  </si>
  <si>
    <t>Vendedor 4</t>
  </si>
  <si>
    <t>Vendedor 5</t>
  </si>
  <si>
    <t>Vendedor 6</t>
  </si>
  <si>
    <t>Vendedor 7</t>
  </si>
  <si>
    <t>Vendedor 8</t>
  </si>
  <si>
    <t>Vendedor 9</t>
  </si>
  <si>
    <t>Vendedor 10</t>
  </si>
  <si>
    <t>Vendedor 11</t>
  </si>
  <si>
    <t>Vendedor 12</t>
  </si>
  <si>
    <t>Vendedor 13</t>
  </si>
  <si>
    <t>Vendedor 14</t>
  </si>
  <si>
    <t>Vendedor 15</t>
  </si>
  <si>
    <t>Vendedor 16</t>
  </si>
  <si>
    <t>Vendedor 17</t>
  </si>
  <si>
    <t>Vendedor 18</t>
  </si>
  <si>
    <t>Total</t>
  </si>
  <si>
    <t>Etiquetas de fila</t>
  </si>
  <si>
    <t>Total general</t>
  </si>
  <si>
    <t>Etiquetas de columna</t>
  </si>
  <si>
    <t>(Todas)</t>
  </si>
  <si>
    <t>Suma de Ventas</t>
  </si>
  <si>
    <t>Suma</t>
  </si>
  <si>
    <t>Promedio</t>
  </si>
  <si>
    <t>Recuento</t>
  </si>
  <si>
    <t>Columna1</t>
  </si>
  <si>
    <t>INFORME VENTAS RUBLOS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</si>
</sst>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XDR&quot;* #,##0.00_-;\-&quot;XDR&quot;* #,##0.00_-;_-&quot;XDR&quot;* &quot;-&quot;??_-;_-@_-"/>
    <numFmt numFmtId="192" formatCode="_-* #,##0\ [$₽-419]_-;\-* #,##0\ [$₽-419]_-;_-* &quot;-&quot;\ [$₽-419]_-;_-@_-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9"/>
      </left>
      <right style="thin">
        <color theme="9"/>
      </right>
      <top style="double">
        <color theme="9"/>
      </top>
      <bottom style="thin">
        <color theme="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medium">
        <color theme="9"/>
      </top>
      <bottom/>
      <diagonal/>
    </border>
    <border>
      <left style="thin">
        <color theme="9"/>
      </left>
      <right style="thin">
        <color theme="9"/>
      </right>
      <top style="medium">
        <color theme="9"/>
      </top>
      <bottom/>
      <diagonal/>
    </border>
    <border>
      <left style="thin">
        <color theme="9"/>
      </left>
      <right/>
      <top style="double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NumberFormat="1"/>
    <xf numFmtId="44" fontId="0" fillId="0" borderId="0" xfId="0" applyNumberFormat="1"/>
    <xf numFmtId="0" fontId="0" fillId="2" borderId="0" xfId="0" applyFill="1"/>
    <xf numFmtId="44" fontId="0" fillId="2" borderId="0" xfId="0" applyNumberFormat="1" applyFill="1"/>
    <xf numFmtId="0" fontId="0" fillId="2" borderId="0" xfId="0" applyFill="1" applyAlignment="1">
      <alignment horizontal="center"/>
    </xf>
    <xf numFmtId="192" fontId="0" fillId="2" borderId="0" xfId="0" applyNumberFormat="1" applyFill="1" applyAlignment="1">
      <alignment horizontal="center"/>
    </xf>
    <xf numFmtId="192" fontId="0" fillId="2" borderId="0" xfId="0" applyNumberFormat="1" applyFill="1"/>
    <xf numFmtId="14" fontId="0" fillId="2" borderId="0" xfId="0" applyNumberFormat="1" applyFill="1" applyAlignment="1">
      <alignment horizontal="center"/>
    </xf>
    <xf numFmtId="192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3" fillId="2" borderId="0" xfId="0" applyFont="1" applyFill="1" applyAlignment="1">
      <alignment horizontal="left" vertical="center" textRotation="255"/>
    </xf>
    <xf numFmtId="0" fontId="2" fillId="2" borderId="2" xfId="0" applyFont="1" applyFill="1" applyBorder="1" applyAlignment="1">
      <alignment horizontal="center"/>
    </xf>
    <xf numFmtId="192" fontId="2" fillId="2" borderId="3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14" fontId="0" fillId="2" borderId="4" xfId="0" applyNumberFormat="1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192" fontId="2" fillId="2" borderId="5" xfId="0" applyNumberFormat="1" applyFont="1" applyFill="1" applyBorder="1" applyAlignment="1">
      <alignment horizontal="center"/>
    </xf>
    <xf numFmtId="14" fontId="0" fillId="2" borderId="2" xfId="0" applyNumberFormat="1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192" fontId="2" fillId="2" borderId="1" xfId="0" applyNumberFormat="1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118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27" formatCode="d/m/yyyy\ hh:mm"/>
    </dxf>
    <dxf>
      <numFmt numFmtId="0" formatCode="General"/>
    </dxf>
    <dxf>
      <numFmt numFmtId="192" formatCode="_-* #,##0\ [$₽-419]_-;\-* #,##0\ [$₽-419]_-;_-* &quot;-&quot;\ [$₽-419]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92" formatCode="_-* #,##0\ [$₽-419]_-;\-* #,##0\ [$₽-419]_-;_-* &quot;-&quot;\ [$₽-419]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9" formatCode="d/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92" formatCode="_-* #,##0\ [$₽-419]_-;\-* #,##0\ [$₽-419]_-;_-* &quot;-&quot;\ [$₽-419]_-;_-@_-"/>
    </dxf>
    <dxf>
      <numFmt numFmtId="192" formatCode="_-* #,##0\ [$₽-419]_-;\-* #,##0\ [$₽-419]_-;_-* &quot;-&quot;\ [$₽-419]_-;_-@_-"/>
    </dxf>
    <dxf>
      <numFmt numFmtId="192" formatCode="_-* #,##0\ [$₽-419]_-;\-* #,##0\ [$₽-419]_-;_-* &quot;-&quot;\ [$₽-419]_-;_-@_-"/>
    </dxf>
    <dxf>
      <numFmt numFmtId="192" formatCode="_-* #,##0\ [$₽-419]_-;\-* #,##0\ [$₽-419]_-;_-* &quot;-&quot;\ [$₽-419]_-;_-@_-"/>
    </dxf>
    <dxf>
      <numFmt numFmtId="192" formatCode="_-* #,##0\ [$₽-419]_-;\-* #,##0\ [$₽-419]_-;_-* &quot;-&quot;\ [$₽-419]_-;_-@_-"/>
    </dxf>
    <dxf>
      <numFmt numFmtId="192" formatCode="_-* #,##0\ [$₽-419]_-;\-* #,##0\ [$₽-419]_-;_-* &quot;-&quot;\ [$₽-419]_-;_-@_-"/>
    </dxf>
    <dxf>
      <numFmt numFmtId="192" formatCode="_-* #,##0\ [$₽-419]_-;\-* #,##0\ [$₽-419]_-;_-* &quot;-&quot;\ [$₽-419]_-;_-@_-"/>
    </dxf>
    <dxf>
      <numFmt numFmtId="192" formatCode="_-* #,##0\ [$₽-419]_-;\-* #,##0\ [$₽-419]_-;_-* &quot;-&quot;\ [$₽-419]_-;_-@_-"/>
    </dxf>
    <dxf>
      <numFmt numFmtId="192" formatCode="_-* #,##0\ [$₽-419]_-;\-* #,##0\ [$₽-419]_-;_-* &quot;-&quot;\ [$₽-419]_-;_-@_-"/>
    </dxf>
    <dxf>
      <numFmt numFmtId="192" formatCode="_-* #,##0\ [$₽-419]_-;\-* #,##0\ [$₽-419]_-;_-* &quot;-&quot;\ [$₽-419]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microsoft.com/office/2011/relationships/timelineCache" Target="timelineCaches/timeline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[Ventas.xlsm]Informe Ventas Embajada Rusia!TablaDinámica81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'Informe Ventas Embajada Rusia'!$C$23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'Informe Ventas Embajada Rusia'!$B$24:$B$27</c:f>
              <c:strCache>
                <c:ptCount val="3"/>
                <c:pt idx="0">
                  <c:v>Accesorios</c:v>
                </c:pt>
                <c:pt idx="1">
                  <c:v>Dispositivos</c:v>
                </c:pt>
                <c:pt idx="2">
                  <c:v>Sistemas</c:v>
                </c:pt>
              </c:strCache>
            </c:strRef>
          </c:cat>
          <c:val>
            <c:numRef>
              <c:f>'Informe Ventas Embajada Rusia'!$C$24:$C$27</c:f>
              <c:numCache>
                <c:formatCode>General</c:formatCode>
                <c:ptCount val="3"/>
                <c:pt idx="0">
                  <c:v>660372</c:v>
                </c:pt>
                <c:pt idx="1">
                  <c:v>1283519</c:v>
                </c:pt>
                <c:pt idx="2">
                  <c:v>1455642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A-44AE-843D-14B16F82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12</xdr:row>
      <xdr:rowOff>160020</xdr:rowOff>
    </xdr:from>
    <xdr:to>
      <xdr:col>11</xdr:col>
      <xdr:colOff>853440</xdr:colOff>
      <xdr:row>27</xdr:row>
      <xdr:rowOff>160020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34BB246-09FB-3D1C-619C-AB81E7B037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373380</xdr:colOff>
      <xdr:row>52</xdr:row>
      <xdr:rowOff>68580</xdr:rowOff>
    </xdr:from>
    <xdr:to>
      <xdr:col>9</xdr:col>
      <xdr:colOff>579120</xdr:colOff>
      <xdr:row>59</xdr:row>
      <xdr:rowOff>160020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2" name="Fechas">
              <a:extLst>
                <a:ext uri="{FF2B5EF4-FFF2-40B4-BE49-F238E27FC236}">
                  <a16:creationId xmlns:a16="http://schemas.microsoft.com/office/drawing/2014/main" id="{B9A8C453-E688-CC7F-44C0-2ABD1AD480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28360" y="960120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Chavalos Herrera" refreshedDate="44850.543110416664" createdVersion="8" refreshedVersion="8" minRefreshableVersion="3" recordCount="19" xr:uid="{39F890F3-D8BD-40CA-B48C-33EAD3D8FA12}">
  <cacheSource type="worksheet">
    <worksheetSource ref="A31:F50" sheet="Informe Ventas Embajada Rusia"/>
  </cacheSource>
  <cacheFields count="6">
    <cacheField name="Índice" numFmtId="0">
      <sharedItems/>
    </cacheField>
    <cacheField name="Fechas" numFmtId="0">
      <sharedItems containsNonDate="0" containsDate="1" containsString="0" containsBlank="1" minDate="2021-10-13T00:00:00" maxDate="2023-03-14T00:00:00" count="19">
        <d v="2021-10-13T00:00:00"/>
        <d v="2021-11-13T00:00:00"/>
        <d v="2021-12-13T00:00:00"/>
        <d v="2022-01-13T00:00:00"/>
        <d v="2022-02-13T00:00:00"/>
        <d v="2022-03-13T00:00:00"/>
        <d v="2022-04-13T00:00:00"/>
        <d v="2022-05-13T00:00:00"/>
        <d v="2022-06-13T00:00:00"/>
        <d v="2022-07-13T00:00:00"/>
        <d v="2022-08-13T00:00:00"/>
        <d v="2022-09-13T00:00:00"/>
        <d v="2022-10-13T00:00:00"/>
        <d v="2022-11-13T00:00:00"/>
        <d v="2022-12-13T00:00:00"/>
        <d v="2023-01-13T00:00:00"/>
        <d v="2023-02-13T00:00:00"/>
        <d v="2023-03-13T00:00:00"/>
        <m/>
      </sharedItems>
    </cacheField>
    <cacheField name="Region" numFmtId="0">
      <sharedItems containsBlank="1"/>
    </cacheField>
    <cacheField name="Producto" numFmtId="0">
      <sharedItems containsBlank="1"/>
    </cacheField>
    <cacheField name="Vendedor" numFmtId="0">
      <sharedItems containsBlank="1"/>
    </cacheField>
    <cacheField name="Ventas" numFmtId="192">
      <sharedItems containsSemiMixedTypes="0" containsString="0" containsNumber="1" containsInteger="1" minValue="4744" maxValue="3399533"/>
    </cacheField>
  </cacheFields>
  <extLst>
    <ext xmlns:x14="http://schemas.microsoft.com/office/spreadsheetml/2009/9/main" uri="{725AE2AE-9491-48be-B2B4-4EB974FC3084}">
      <x14:pivotCacheDefinition pivotCacheId="70486527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Chavalos Herrera" refreshedDate="44850.543110763887" createdVersion="8" refreshedVersion="8" minRefreshableVersion="3" recordCount="18" xr:uid="{772BC18C-6D6F-4D56-95B4-832AC43A428F}">
  <cacheSource type="worksheet">
    <worksheetSource name="Tabla1"/>
  </cacheSource>
  <cacheFields count="6">
    <cacheField name="Índice" numFmtId="0">
      <sharedItems/>
    </cacheField>
    <cacheField name="Fechas" numFmtId="14">
      <sharedItems containsSemiMixedTypes="0" containsNonDate="0" containsDate="1" containsString="0" minDate="2021-10-13T00:00:00" maxDate="2023-03-14T00:00:00" count="18">
        <d v="2021-10-13T00:00:00"/>
        <d v="2021-11-13T00:00:00"/>
        <d v="2021-12-13T00:00:00"/>
        <d v="2022-01-13T00:00:00"/>
        <d v="2022-02-13T00:00:00"/>
        <d v="2022-03-13T00:00:00"/>
        <d v="2022-04-13T00:00:00"/>
        <d v="2022-05-13T00:00:00"/>
        <d v="2022-06-13T00:00:00"/>
        <d v="2022-07-13T00:00:00"/>
        <d v="2022-08-13T00:00:00"/>
        <d v="2022-09-13T00:00:00"/>
        <d v="2022-10-13T00:00:00"/>
        <d v="2022-11-13T00:00:00"/>
        <d v="2022-12-13T00:00:00"/>
        <d v="2023-01-13T00:00:00"/>
        <d v="2023-02-13T00:00:00"/>
        <d v="2023-03-13T00:00:00"/>
      </sharedItems>
    </cacheField>
    <cacheField name="Region" numFmtId="0">
      <sharedItems count="3">
        <s v="Central"/>
        <s v="Este"/>
        <s v="Oeste"/>
      </sharedItems>
    </cacheField>
    <cacheField name="Producto" numFmtId="0">
      <sharedItems count="3">
        <s v="Accesorios"/>
        <s v="Dispositivos"/>
        <s v="Sistemas"/>
      </sharedItems>
    </cacheField>
    <cacheField name="Vendedor" numFmtId="0">
      <sharedItems count="6">
        <s v="David"/>
        <s v="Karen"/>
        <s v="Ana"/>
        <s v="Lucas"/>
        <s v="Kevin"/>
        <s v="Sara"/>
      </sharedItems>
    </cacheField>
    <cacheField name="Ventas" numFmtId="192">
      <sharedItems containsSemiMixedTypes="0" containsString="0" containsNumber="1" containsInteger="1" minValue="4744" maxValue="1335531"/>
    </cacheField>
  </cacheFields>
  <extLst>
    <ext xmlns:x14="http://schemas.microsoft.com/office/spreadsheetml/2009/9/main" uri="{725AE2AE-9491-48be-B2B4-4EB974FC3084}">
      <x14:pivotCacheDefinition pivotCacheId="117068061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s v="Vendedor 1"/>
    <x v="0"/>
    <s v="Central"/>
    <s v="Accesorios"/>
    <s v="David"/>
    <n v="108287"/>
  </r>
  <r>
    <s v="Vendedor 2"/>
    <x v="1"/>
    <s v="Central"/>
    <s v="Accesorios"/>
    <s v="Karen"/>
    <n v="6909"/>
  </r>
  <r>
    <s v="Vendedor 3"/>
    <x v="2"/>
    <s v="Central"/>
    <s v="Dispositivos"/>
    <s v="David"/>
    <n v="11420"/>
  </r>
  <r>
    <s v="Vendedor 4"/>
    <x v="3"/>
    <s v="Central"/>
    <s v="Dispositivos"/>
    <s v="Karen"/>
    <n v="12948"/>
  </r>
  <r>
    <s v="Vendedor 5"/>
    <x v="4"/>
    <s v="Central"/>
    <s v="Sistemas"/>
    <s v="David"/>
    <n v="20098"/>
  </r>
  <r>
    <s v="Vendedor 6"/>
    <x v="5"/>
    <s v="Central"/>
    <s v="Sistemas"/>
    <s v="Karen"/>
    <n v="30633"/>
  </r>
  <r>
    <s v="Vendedor 7"/>
    <x v="6"/>
    <s v="Este"/>
    <s v="Accesorios"/>
    <s v="Ana"/>
    <n v="9323"/>
  </r>
  <r>
    <s v="Vendedor 8"/>
    <x v="7"/>
    <s v="Este"/>
    <s v="Accesorios"/>
    <s v="Lucas"/>
    <n v="7667"/>
  </r>
  <r>
    <s v="Vendedor 9"/>
    <x v="8"/>
    <s v="Este"/>
    <s v="Dispositivos"/>
    <s v="Ana"/>
    <n v="10348"/>
  </r>
  <r>
    <s v="Vendedor 10"/>
    <x v="9"/>
    <s v="Este"/>
    <s v="Dispositivos"/>
    <s v="Lucas"/>
    <n v="9312"/>
  </r>
  <r>
    <s v="Vendedor 11"/>
    <x v="10"/>
    <s v="Este"/>
    <s v="Sistemas"/>
    <s v="Ana"/>
    <n v="1335531"/>
  </r>
  <r>
    <s v="Vendedor 12"/>
    <x v="11"/>
    <s v="Este"/>
    <s v="Sistemas"/>
    <s v="Lucas"/>
    <n v="13374"/>
  </r>
  <r>
    <s v="Vendedor 13"/>
    <x v="12"/>
    <s v="Oeste"/>
    <s v="Accesorios"/>
    <s v="Kevin"/>
    <n v="4744"/>
  </r>
  <r>
    <s v="Vendedor 14"/>
    <x v="13"/>
    <s v="Oeste"/>
    <s v="Accesorios"/>
    <s v="Sara"/>
    <n v="523442"/>
  </r>
  <r>
    <s v="Vendedor 15"/>
    <x v="14"/>
    <s v="Oeste"/>
    <s v="Dispositivos"/>
    <s v="Kevin"/>
    <n v="1230711"/>
  </r>
  <r>
    <s v="Vendedor 16"/>
    <x v="15"/>
    <s v="Oeste"/>
    <s v="Dispositivos"/>
    <s v="Sara"/>
    <n v="8780"/>
  </r>
  <r>
    <s v="Vendedor 17"/>
    <x v="16"/>
    <s v="Oeste"/>
    <s v="Sistemas"/>
    <s v="Kevin"/>
    <n v="32855"/>
  </r>
  <r>
    <s v="Vendedor 18"/>
    <x v="17"/>
    <s v="Oeste"/>
    <s v="Sistemas"/>
    <s v="Sara"/>
    <n v="23151"/>
  </r>
  <r>
    <s v="Total"/>
    <x v="18"/>
    <m/>
    <m/>
    <m/>
    <n v="339953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s v="Vendedor 1"/>
    <x v="0"/>
    <x v="0"/>
    <x v="0"/>
    <x v="0"/>
    <n v="108287"/>
  </r>
  <r>
    <s v="Vendedor 2"/>
    <x v="1"/>
    <x v="0"/>
    <x v="0"/>
    <x v="1"/>
    <n v="6909"/>
  </r>
  <r>
    <s v="Vendedor 3"/>
    <x v="2"/>
    <x v="0"/>
    <x v="1"/>
    <x v="0"/>
    <n v="11420"/>
  </r>
  <r>
    <s v="Vendedor 4"/>
    <x v="3"/>
    <x v="0"/>
    <x v="1"/>
    <x v="1"/>
    <n v="12948"/>
  </r>
  <r>
    <s v="Vendedor 5"/>
    <x v="4"/>
    <x v="0"/>
    <x v="2"/>
    <x v="0"/>
    <n v="20098"/>
  </r>
  <r>
    <s v="Vendedor 6"/>
    <x v="5"/>
    <x v="0"/>
    <x v="2"/>
    <x v="1"/>
    <n v="30633"/>
  </r>
  <r>
    <s v="Vendedor 7"/>
    <x v="6"/>
    <x v="1"/>
    <x v="0"/>
    <x v="2"/>
    <n v="9323"/>
  </r>
  <r>
    <s v="Vendedor 8"/>
    <x v="7"/>
    <x v="1"/>
    <x v="0"/>
    <x v="3"/>
    <n v="7667"/>
  </r>
  <r>
    <s v="Vendedor 9"/>
    <x v="8"/>
    <x v="1"/>
    <x v="1"/>
    <x v="2"/>
    <n v="10348"/>
  </r>
  <r>
    <s v="Vendedor 10"/>
    <x v="9"/>
    <x v="1"/>
    <x v="1"/>
    <x v="3"/>
    <n v="9312"/>
  </r>
  <r>
    <s v="Vendedor 11"/>
    <x v="10"/>
    <x v="1"/>
    <x v="2"/>
    <x v="2"/>
    <n v="1335531"/>
  </r>
  <r>
    <s v="Vendedor 12"/>
    <x v="11"/>
    <x v="1"/>
    <x v="2"/>
    <x v="3"/>
    <n v="13374"/>
  </r>
  <r>
    <s v="Vendedor 13"/>
    <x v="12"/>
    <x v="2"/>
    <x v="0"/>
    <x v="4"/>
    <n v="4744"/>
  </r>
  <r>
    <s v="Vendedor 14"/>
    <x v="13"/>
    <x v="2"/>
    <x v="0"/>
    <x v="5"/>
    <n v="523442"/>
  </r>
  <r>
    <s v="Vendedor 15"/>
    <x v="14"/>
    <x v="2"/>
    <x v="1"/>
    <x v="4"/>
    <n v="1230711"/>
  </r>
  <r>
    <s v="Vendedor 16"/>
    <x v="15"/>
    <x v="2"/>
    <x v="1"/>
    <x v="5"/>
    <n v="8780"/>
  </r>
  <r>
    <s v="Vendedor 17"/>
    <x v="16"/>
    <x v="2"/>
    <x v="2"/>
    <x v="4"/>
    <n v="32855"/>
  </r>
  <r>
    <s v="Vendedor 18"/>
    <x v="17"/>
    <x v="2"/>
    <x v="2"/>
    <x v="5"/>
    <n v="2315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81A382-CA04-45F6-8B62-779CEB90A465}" name="TablaDinámica99" cacheId="18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D52:D53" firstHeaderRow="1" firstDataRow="1" firstDataCol="0"/>
  <pivotFields count="6">
    <pivotField showAll="0"/>
    <pivotField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dataField="1" numFmtId="192" showAll="0"/>
  </pivotFields>
  <rowItems count="1">
    <i/>
  </rowItems>
  <colItems count="1">
    <i/>
  </colItems>
  <dataFields count="1">
    <dataField name="Suma de Venta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C47221-92EA-4990-B80B-F1CDF5A9E47E}" name="TablaDinámica98" cacheId="1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52:B53" firstHeaderRow="1" firstDataRow="1" firstDataCol="0"/>
  <pivotFields count="6">
    <pivotField showAll="0"/>
    <pivotField numFmtId="14" showAll="0"/>
    <pivotField showAll="0"/>
    <pivotField showAll="0"/>
    <pivotField showAll="0"/>
    <pivotField dataField="1" numFmtId="192" showAll="0"/>
  </pivotFields>
  <rowItems count="1">
    <i/>
  </rowItems>
  <colItems count="1">
    <i/>
  </colItems>
  <dataFields count="1">
    <dataField name="Suma de Venta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87DFA5-0D7A-43B9-9AAB-BBAB99611F89}" name="TablaDinámica81" cacheId="1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B23:C27" firstHeaderRow="1" firstDataRow="1" firstDataCol="1"/>
  <pivotFields count="6">
    <pivotField showAll="0"/>
    <pivotField numFmtId="14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192"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Ventas" fld="5" baseField="0" baseItem="0"/>
  </dataFields>
  <formats count="6">
    <format dxfId="98">
      <pivotArea type="all" dataOnly="0" outline="0" fieldPosition="0"/>
    </format>
    <format dxfId="97">
      <pivotArea outline="0" collapsedLevelsAreSubtotals="1" fieldPosition="0"/>
    </format>
    <format dxfId="96">
      <pivotArea field="3" type="button" dataOnly="0" labelOnly="1" outline="0" axis="axisRow" fieldPosition="0"/>
    </format>
    <format dxfId="95">
      <pivotArea dataOnly="0" labelOnly="1" fieldPosition="0">
        <references count="1">
          <reference field="3" count="0"/>
        </references>
      </pivotArea>
    </format>
    <format dxfId="94">
      <pivotArea dataOnly="0" labelOnly="1" grandRow="1" outline="0" fieldPosition="0"/>
    </format>
    <format dxfId="9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510AED-1111-45EE-A702-7A6DC2582754}" name="TablaDinámica80" cacheId="1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4:L12" firstHeaderRow="1" firstDataRow="2" firstDataCol="1" rowPageCount="1" colPageCount="1"/>
  <pivotFields count="6">
    <pivotField showAll="0"/>
    <pivotField numFmtId="14" showAll="0"/>
    <pivotField axis="axisPage" showAll="0">
      <items count="4">
        <item x="0"/>
        <item x="1"/>
        <item x="2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Row" showAll="0">
      <items count="7">
        <item sd="0" x="2"/>
        <item sd="0" x="0"/>
        <item sd="0" x="1"/>
        <item sd="0" x="4"/>
        <item sd="0" x="3"/>
        <item sd="0" x="5"/>
        <item t="default" sd="0"/>
      </items>
    </pivotField>
    <pivotField dataField="1" numFmtId="192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pageFields count="1">
    <pageField fld="2" hier="-1"/>
  </pageFields>
  <dataFields count="1">
    <dataField name="Suma de Ventas" fld="5" baseField="0" baseItem="0" numFmtId="192"/>
  </dataFields>
  <formats count="20">
    <format dxfId="108">
      <pivotArea type="all" dataOnly="0" outline="0" fieldPosition="0"/>
    </format>
    <format dxfId="109">
      <pivotArea outline="0" collapsedLevelsAreSubtotals="1" fieldPosition="0"/>
    </format>
    <format dxfId="110">
      <pivotArea type="origin" dataOnly="0" labelOnly="1" outline="0" fieldPosition="0"/>
    </format>
    <format dxfId="111">
      <pivotArea field="3" type="button" dataOnly="0" labelOnly="1" outline="0" axis="axisCol" fieldPosition="0"/>
    </format>
    <format dxfId="112">
      <pivotArea type="topRight" dataOnly="0" labelOnly="1" outline="0" fieldPosition="0"/>
    </format>
    <format dxfId="113">
      <pivotArea field="4" type="button" dataOnly="0" labelOnly="1" outline="0" axis="axisRow" fieldPosition="0"/>
    </format>
    <format dxfId="114">
      <pivotArea dataOnly="0" labelOnly="1" fieldPosition="0">
        <references count="1">
          <reference field="4" count="0"/>
        </references>
      </pivotArea>
    </format>
    <format dxfId="115">
      <pivotArea dataOnly="0" labelOnly="1" grandRow="1" outline="0" fieldPosition="0"/>
    </format>
    <format dxfId="116">
      <pivotArea dataOnly="0" labelOnly="1" fieldPosition="0">
        <references count="1">
          <reference field="3" count="0"/>
        </references>
      </pivotArea>
    </format>
    <format dxfId="117">
      <pivotArea dataOnly="0" labelOnly="1" grandCol="1" outline="0" fieldPosition="0"/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type="origin" dataOnly="0" labelOnly="1" outline="0" fieldPosition="0"/>
    </format>
    <format dxfId="89">
      <pivotArea field="3" type="button" dataOnly="0" labelOnly="1" outline="0" axis="axisCol" fieldPosition="0"/>
    </format>
    <format dxfId="88">
      <pivotArea type="topRight" dataOnly="0" labelOnly="1" outline="0" fieldPosition="0"/>
    </format>
    <format dxfId="87">
      <pivotArea field="4" type="button" dataOnly="0" labelOnly="1" outline="0" axis="axisRow" fieldPosition="0"/>
    </format>
    <format dxfId="86">
      <pivotArea dataOnly="0" labelOnly="1" fieldPosition="0">
        <references count="1">
          <reference field="4" count="0"/>
        </references>
      </pivotArea>
    </format>
    <format dxfId="85">
      <pivotArea dataOnly="0" labelOnly="1" grandRow="1" outline="0" fieldPosition="0"/>
    </format>
    <format dxfId="84">
      <pivotArea dataOnly="0" labelOnly="1" fieldPosition="0">
        <references count="1">
          <reference field="3" count="0"/>
        </references>
      </pivotArea>
    </format>
    <format dxfId="83">
      <pivotArea dataOnly="0" labelOnly="1" grandCol="1" outline="0" fieldPosition="0"/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1117265-6D2C-4E98-9F7F-F90985F5E533}" autoFormatId="16" applyNumberFormats="0" applyBorderFormats="0" applyFontFormats="0" applyPatternFormats="0" applyAlignmentFormats="0" applyWidthHeightFormats="0">
  <queryTableRefresh nextId="7">
    <queryTableFields count="6">
      <queryTableField id="1" name="Índice" tableColumnId="1"/>
      <queryTableField id="2" name="Fechas" tableColumnId="2"/>
      <queryTableField id="3" name="Region" tableColumnId="3"/>
      <queryTableField id="4" name="Producto" tableColumnId="4"/>
      <queryTableField id="5" name="Vendedor" tableColumnId="5"/>
      <queryTableField id="6" name="Ventas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434FC5-A551-4511-8D04-5342007C595F}" name="Tabla1_2" displayName="Tabla1_2" ref="A1:F20" tableType="queryTable" totalsRowShown="0">
  <autoFilter ref="A1:F20" xr:uid="{24434FC5-A551-4511-8D04-5342007C595F}"/>
  <tableColumns count="6">
    <tableColumn id="1" xr3:uid="{DD4D2B64-53D8-442B-8732-24A64A2C3FF1}" uniqueName="1" name="Índice" queryTableFieldId="1" dataDxfId="76"/>
    <tableColumn id="2" xr3:uid="{4ADA9151-DBFF-4714-ABBD-936D7B221D8B}" uniqueName="2" name="Fechas" queryTableFieldId="2" dataDxfId="75"/>
    <tableColumn id="3" xr3:uid="{D05D6474-BFDF-4401-A5D2-F5B8518F938B}" uniqueName="3" name="Region" queryTableFieldId="3" dataDxfId="74"/>
    <tableColumn id="4" xr3:uid="{47733E44-465D-420C-AA23-26B0368AD6F6}" uniqueName="4" name="Producto" queryTableFieldId="4" dataDxfId="73"/>
    <tableColumn id="5" xr3:uid="{765EA142-A824-444D-8B0D-C3165FDD4F77}" uniqueName="5" name="Vendedor" queryTableFieldId="5" dataDxfId="72"/>
    <tableColumn id="6" xr3:uid="{2B72539B-A0CE-4FA5-95FE-174FA9C906D2}" uniqueName="6" name="Ventas" queryTableField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1E7D89-DD7A-41FD-BE31-C2BA072FB817}" name="Tabla1" displayName="Tabla1" ref="A2:F21" totalsRowCount="1" headerRowDxfId="101" dataDxfId="99" totalsRowDxfId="100">
  <autoFilter ref="A2:F20" xr:uid="{3D1E7D89-DD7A-41FD-BE31-C2BA072FB817}"/>
  <sortState xmlns:xlrd2="http://schemas.microsoft.com/office/spreadsheetml/2017/richdata2" ref="A3:F20">
    <sortCondition ref="B2:B20"/>
  </sortState>
  <tableColumns count="6">
    <tableColumn id="1" xr3:uid="{8BCD0B82-0125-46A3-AD42-2CEE706D8226}" name="Índice" totalsRowLabel="Total" dataDxfId="107" totalsRowDxfId="82"/>
    <tableColumn id="2" xr3:uid="{9470DFBD-7DE7-4B01-96B9-D7922390C383}" name="Fechas" dataDxfId="106" totalsRowDxfId="81"/>
    <tableColumn id="3" xr3:uid="{1380D843-8023-43B2-A39C-BEE2E6D69016}" name="Region" dataDxfId="105" totalsRowDxfId="80"/>
    <tableColumn id="4" xr3:uid="{28EA6A95-1BAB-4EEC-9F00-7EEBF74AA86C}" name="Producto" dataDxfId="104" totalsRowDxfId="79"/>
    <tableColumn id="5" xr3:uid="{F9DAD06B-DE03-4BEE-A8D6-9673A09EFEE2}" name="Vendedor" dataDxfId="103" totalsRowDxfId="78"/>
    <tableColumn id="6" xr3:uid="{782416E9-5D55-4763-83FB-DFC9C8972BC5}" name="Ventas" totalsRowFunction="sum" dataDxfId="102" totalsRowDxfId="77"/>
  </tableColumns>
  <tableStyleInfo name="TableStyleLight21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s" xr10:uid="{D930C928-2FBB-4B28-9E68-FD7F9DB2D08E}" sourceName="Fechas">
  <pivotTables>
    <pivotTable tabId="1" name="TablaDinámica99"/>
  </pivotTables>
  <state minimalRefreshVersion="6" lastRefreshVersion="6" pivotCacheId="704865273" filterType="unknown">
    <bounds startDate="2021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s" xr10:uid="{3A4690B6-D6CC-433D-9E9C-67E6BDAE040D}" cache="NativeTimeline_Fechas" caption="Fechas" level="0" selectionLevel="0" scrollPosition="2021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D4F56-AC61-4DBA-B29C-3ECFA79E42D9}">
  <dimension ref="A1:F20"/>
  <sheetViews>
    <sheetView workbookViewId="0"/>
  </sheetViews>
  <sheetFormatPr baseColWidth="10" defaultRowHeight="14.4" x14ac:dyDescent="0.3"/>
  <cols>
    <col min="1" max="1" width="11.33203125" bestFit="1" customWidth="1"/>
    <col min="2" max="2" width="15.5546875" bestFit="1" customWidth="1"/>
    <col min="3" max="3" width="9" bestFit="1" customWidth="1"/>
    <col min="4" max="4" width="11" bestFit="1" customWidth="1"/>
    <col min="6" max="6" width="9" bestFit="1" customWidth="1"/>
  </cols>
  <sheetData>
    <row r="1" spans="1:6" x14ac:dyDescent="0.3">
      <c r="A1" t="s">
        <v>17</v>
      </c>
      <c r="B1" t="s">
        <v>16</v>
      </c>
      <c r="C1" t="s">
        <v>0</v>
      </c>
      <c r="D1" t="s">
        <v>1</v>
      </c>
      <c r="E1" t="s">
        <v>2</v>
      </c>
      <c r="F1" t="s">
        <v>3</v>
      </c>
    </row>
    <row r="2" spans="1:6" x14ac:dyDescent="0.3">
      <c r="A2" s="1" t="s">
        <v>18</v>
      </c>
      <c r="B2" s="24">
        <v>44482</v>
      </c>
      <c r="C2" s="1" t="s">
        <v>4</v>
      </c>
      <c r="D2" s="1" t="s">
        <v>5</v>
      </c>
      <c r="E2" s="1" t="s">
        <v>6</v>
      </c>
      <c r="F2">
        <v>108287</v>
      </c>
    </row>
    <row r="3" spans="1:6" x14ac:dyDescent="0.3">
      <c r="A3" s="1" t="s">
        <v>19</v>
      </c>
      <c r="B3" s="24">
        <v>44513</v>
      </c>
      <c r="C3" s="1" t="s">
        <v>4</v>
      </c>
      <c r="D3" s="1" t="s">
        <v>5</v>
      </c>
      <c r="E3" s="1" t="s">
        <v>7</v>
      </c>
      <c r="F3">
        <v>6909</v>
      </c>
    </row>
    <row r="4" spans="1:6" x14ac:dyDescent="0.3">
      <c r="A4" s="1" t="s">
        <v>20</v>
      </c>
      <c r="B4" s="24">
        <v>44543</v>
      </c>
      <c r="C4" s="1" t="s">
        <v>4</v>
      </c>
      <c r="D4" s="1" t="s">
        <v>8</v>
      </c>
      <c r="E4" s="1" t="s">
        <v>6</v>
      </c>
      <c r="F4">
        <v>11420</v>
      </c>
    </row>
    <row r="5" spans="1:6" x14ac:dyDescent="0.3">
      <c r="A5" s="1" t="s">
        <v>21</v>
      </c>
      <c r="B5" s="24">
        <v>44574</v>
      </c>
      <c r="C5" s="1" t="s">
        <v>4</v>
      </c>
      <c r="D5" s="1" t="s">
        <v>8</v>
      </c>
      <c r="E5" s="1" t="s">
        <v>7</v>
      </c>
      <c r="F5">
        <v>12948</v>
      </c>
    </row>
    <row r="6" spans="1:6" x14ac:dyDescent="0.3">
      <c r="A6" s="1" t="s">
        <v>22</v>
      </c>
      <c r="B6" s="24">
        <v>44605</v>
      </c>
      <c r="C6" s="1" t="s">
        <v>4</v>
      </c>
      <c r="D6" s="1" t="s">
        <v>9</v>
      </c>
      <c r="E6" s="1" t="s">
        <v>6</v>
      </c>
      <c r="F6">
        <v>20098</v>
      </c>
    </row>
    <row r="7" spans="1:6" x14ac:dyDescent="0.3">
      <c r="A7" s="1" t="s">
        <v>23</v>
      </c>
      <c r="B7" s="24">
        <v>44633</v>
      </c>
      <c r="C7" s="1" t="s">
        <v>4</v>
      </c>
      <c r="D7" s="1" t="s">
        <v>9</v>
      </c>
      <c r="E7" s="1" t="s">
        <v>7</v>
      </c>
      <c r="F7">
        <v>30633</v>
      </c>
    </row>
    <row r="8" spans="1:6" x14ac:dyDescent="0.3">
      <c r="A8" s="1" t="s">
        <v>24</v>
      </c>
      <c r="B8" s="24">
        <v>44664</v>
      </c>
      <c r="C8" s="1" t="s">
        <v>10</v>
      </c>
      <c r="D8" s="1" t="s">
        <v>5</v>
      </c>
      <c r="E8" s="1" t="s">
        <v>11</v>
      </c>
      <c r="F8">
        <v>9323</v>
      </c>
    </row>
    <row r="9" spans="1:6" x14ac:dyDescent="0.3">
      <c r="A9" s="1" t="s">
        <v>25</v>
      </c>
      <c r="B9" s="24">
        <v>44694</v>
      </c>
      <c r="C9" s="1" t="s">
        <v>10</v>
      </c>
      <c r="D9" s="1" t="s">
        <v>5</v>
      </c>
      <c r="E9" s="1" t="s">
        <v>12</v>
      </c>
      <c r="F9">
        <v>7667</v>
      </c>
    </row>
    <row r="10" spans="1:6" x14ac:dyDescent="0.3">
      <c r="A10" s="1" t="s">
        <v>26</v>
      </c>
      <c r="B10" s="24">
        <v>44725</v>
      </c>
      <c r="C10" s="1" t="s">
        <v>10</v>
      </c>
      <c r="D10" s="1" t="s">
        <v>8</v>
      </c>
      <c r="E10" s="1" t="s">
        <v>11</v>
      </c>
      <c r="F10">
        <v>10348</v>
      </c>
    </row>
    <row r="11" spans="1:6" x14ac:dyDescent="0.3">
      <c r="A11" s="1" t="s">
        <v>27</v>
      </c>
      <c r="B11" s="24">
        <v>44755</v>
      </c>
      <c r="C11" s="1" t="s">
        <v>10</v>
      </c>
      <c r="D11" s="1" t="s">
        <v>8</v>
      </c>
      <c r="E11" s="1" t="s">
        <v>12</v>
      </c>
      <c r="F11">
        <v>9312</v>
      </c>
    </row>
    <row r="12" spans="1:6" x14ac:dyDescent="0.3">
      <c r="A12" s="1" t="s">
        <v>28</v>
      </c>
      <c r="B12" s="24">
        <v>44786</v>
      </c>
      <c r="C12" s="1" t="s">
        <v>10</v>
      </c>
      <c r="D12" s="1" t="s">
        <v>9</v>
      </c>
      <c r="E12" s="1" t="s">
        <v>11</v>
      </c>
      <c r="F12">
        <v>1335531</v>
      </c>
    </row>
    <row r="13" spans="1:6" x14ac:dyDescent="0.3">
      <c r="A13" s="1" t="s">
        <v>29</v>
      </c>
      <c r="B13" s="24">
        <v>44817</v>
      </c>
      <c r="C13" s="1" t="s">
        <v>10</v>
      </c>
      <c r="D13" s="1" t="s">
        <v>9</v>
      </c>
      <c r="E13" s="1" t="s">
        <v>12</v>
      </c>
      <c r="F13">
        <v>13374</v>
      </c>
    </row>
    <row r="14" spans="1:6" x14ac:dyDescent="0.3">
      <c r="A14" s="1" t="s">
        <v>30</v>
      </c>
      <c r="B14" s="24">
        <v>44847</v>
      </c>
      <c r="C14" s="1" t="s">
        <v>13</v>
      </c>
      <c r="D14" s="1" t="s">
        <v>5</v>
      </c>
      <c r="E14" s="1" t="s">
        <v>14</v>
      </c>
      <c r="F14">
        <v>4744</v>
      </c>
    </row>
    <row r="15" spans="1:6" x14ac:dyDescent="0.3">
      <c r="A15" s="1" t="s">
        <v>31</v>
      </c>
      <c r="B15" s="24">
        <v>44878</v>
      </c>
      <c r="C15" s="1" t="s">
        <v>13</v>
      </c>
      <c r="D15" s="1" t="s">
        <v>5</v>
      </c>
      <c r="E15" s="1" t="s">
        <v>15</v>
      </c>
      <c r="F15">
        <v>523442</v>
      </c>
    </row>
    <row r="16" spans="1:6" x14ac:dyDescent="0.3">
      <c r="A16" s="1" t="s">
        <v>32</v>
      </c>
      <c r="B16" s="24">
        <v>44908</v>
      </c>
      <c r="C16" s="1" t="s">
        <v>13</v>
      </c>
      <c r="D16" s="1" t="s">
        <v>8</v>
      </c>
      <c r="E16" s="1" t="s">
        <v>14</v>
      </c>
      <c r="F16">
        <v>1230711</v>
      </c>
    </row>
    <row r="17" spans="1:6" x14ac:dyDescent="0.3">
      <c r="A17" s="1" t="s">
        <v>33</v>
      </c>
      <c r="B17" s="24">
        <v>44939</v>
      </c>
      <c r="C17" s="1" t="s">
        <v>13</v>
      </c>
      <c r="D17" s="1" t="s">
        <v>8</v>
      </c>
      <c r="E17" s="1" t="s">
        <v>15</v>
      </c>
      <c r="F17">
        <v>8780</v>
      </c>
    </row>
    <row r="18" spans="1:6" x14ac:dyDescent="0.3">
      <c r="A18" s="1" t="s">
        <v>34</v>
      </c>
      <c r="B18" s="24">
        <v>44970</v>
      </c>
      <c r="C18" s="1" t="s">
        <v>13</v>
      </c>
      <c r="D18" s="1" t="s">
        <v>9</v>
      </c>
      <c r="E18" s="1" t="s">
        <v>14</v>
      </c>
      <c r="F18">
        <v>32855</v>
      </c>
    </row>
    <row r="19" spans="1:6" x14ac:dyDescent="0.3">
      <c r="A19" s="1" t="s">
        <v>35</v>
      </c>
      <c r="B19" s="24">
        <v>44998</v>
      </c>
      <c r="C19" s="1" t="s">
        <v>13</v>
      </c>
      <c r="D19" s="1" t="s">
        <v>9</v>
      </c>
      <c r="E19" s="1" t="s">
        <v>15</v>
      </c>
      <c r="F19">
        <v>23151</v>
      </c>
    </row>
    <row r="20" spans="1:6" x14ac:dyDescent="0.3">
      <c r="A20" s="1" t="s">
        <v>36</v>
      </c>
      <c r="B20" s="24"/>
      <c r="C20" s="1"/>
      <c r="D20" s="1"/>
      <c r="E20" s="1"/>
      <c r="F20">
        <v>3399533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72"/>
  <sheetViews>
    <sheetView tabSelected="1" topLeftCell="A45" workbookViewId="0">
      <selection activeCell="K59" sqref="K59"/>
    </sheetView>
  </sheetViews>
  <sheetFormatPr baseColWidth="10" defaultColWidth="9.109375" defaultRowHeight="14.4" x14ac:dyDescent="0.3"/>
  <cols>
    <col min="1" max="1" width="11.77734375" bestFit="1" customWidth="1"/>
    <col min="2" max="2" width="16.5546875" bestFit="1" customWidth="1"/>
    <col min="3" max="4" width="14.5546875" bestFit="1" customWidth="1"/>
    <col min="5" max="5" width="11.5546875" bestFit="1" customWidth="1"/>
    <col min="6" max="6" width="12" style="2" bestFit="1" customWidth="1"/>
    <col min="7" max="7" width="6" bestFit="1" customWidth="1"/>
    <col min="8" max="8" width="17.5546875" bestFit="1" customWidth="1"/>
    <col min="9" max="9" width="22.109375" bestFit="1" customWidth="1"/>
    <col min="10" max="11" width="12" bestFit="1" customWidth="1"/>
    <col min="12" max="12" width="13" bestFit="1" customWidth="1"/>
    <col min="13" max="13" width="11" bestFit="1" customWidth="1"/>
    <col min="14" max="14" width="11.5546875" bestFit="1" customWidth="1"/>
    <col min="15" max="15" width="10.44140625" bestFit="1" customWidth="1"/>
    <col min="16" max="17" width="6" bestFit="1" customWidth="1"/>
    <col min="18" max="18" width="11.88671875" bestFit="1" customWidth="1"/>
  </cols>
  <sheetData>
    <row r="1" spans="1:18" x14ac:dyDescent="0.3">
      <c r="A1" s="3"/>
      <c r="B1" s="3"/>
      <c r="C1" s="3"/>
      <c r="D1" s="3"/>
      <c r="E1" s="3"/>
      <c r="F1" s="4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x14ac:dyDescent="0.3">
      <c r="A2" s="23" t="s">
        <v>17</v>
      </c>
      <c r="B2" s="5" t="s">
        <v>16</v>
      </c>
      <c r="C2" s="5" t="s">
        <v>0</v>
      </c>
      <c r="D2" s="5" t="s">
        <v>1</v>
      </c>
      <c r="E2" s="5" t="s">
        <v>2</v>
      </c>
      <c r="F2" s="6" t="s">
        <v>3</v>
      </c>
      <c r="G2" s="3"/>
      <c r="H2" s="7" t="s">
        <v>0</v>
      </c>
      <c r="I2" s="7" t="s">
        <v>40</v>
      </c>
      <c r="J2" s="7"/>
      <c r="K2" s="7"/>
      <c r="L2" s="7"/>
      <c r="M2" s="3"/>
      <c r="N2" s="3"/>
      <c r="O2" s="3"/>
      <c r="P2" s="3"/>
      <c r="Q2" s="3"/>
      <c r="R2" s="3"/>
    </row>
    <row r="3" spans="1:18" x14ac:dyDescent="0.3">
      <c r="A3" s="5" t="s">
        <v>18</v>
      </c>
      <c r="B3" s="8">
        <v>44482</v>
      </c>
      <c r="C3" s="5" t="s">
        <v>4</v>
      </c>
      <c r="D3" s="5" t="s">
        <v>5</v>
      </c>
      <c r="E3" s="5" t="s">
        <v>6</v>
      </c>
      <c r="F3" s="6">
        <v>108287</v>
      </c>
      <c r="G3" s="3"/>
      <c r="H3" s="7"/>
      <c r="I3" s="7"/>
      <c r="J3" s="7"/>
      <c r="K3" s="7"/>
      <c r="L3" s="7"/>
      <c r="M3" s="3"/>
      <c r="N3" s="12" t="s">
        <v>46</v>
      </c>
      <c r="O3" s="12"/>
      <c r="P3" s="3"/>
      <c r="Q3" s="3"/>
      <c r="R3" s="3"/>
    </row>
    <row r="4" spans="1:18" x14ac:dyDescent="0.3">
      <c r="A4" s="5" t="s">
        <v>19</v>
      </c>
      <c r="B4" s="8">
        <v>44513</v>
      </c>
      <c r="C4" s="5" t="s">
        <v>4</v>
      </c>
      <c r="D4" s="5" t="s">
        <v>5</v>
      </c>
      <c r="E4" s="5" t="s">
        <v>7</v>
      </c>
      <c r="F4" s="6">
        <v>6909</v>
      </c>
      <c r="G4" s="3"/>
      <c r="H4" s="7" t="s">
        <v>41</v>
      </c>
      <c r="I4" s="7" t="s">
        <v>39</v>
      </c>
      <c r="J4" s="7"/>
      <c r="K4" s="7"/>
      <c r="L4" s="7"/>
      <c r="M4" s="3"/>
      <c r="N4" s="12"/>
      <c r="O4" s="12"/>
      <c r="P4" s="3"/>
      <c r="Q4" s="3"/>
      <c r="R4" s="3"/>
    </row>
    <row r="5" spans="1:18" x14ac:dyDescent="0.3">
      <c r="A5" s="5" t="s">
        <v>20</v>
      </c>
      <c r="B5" s="8">
        <v>44543</v>
      </c>
      <c r="C5" s="5" t="s">
        <v>4</v>
      </c>
      <c r="D5" s="5" t="s">
        <v>8</v>
      </c>
      <c r="E5" s="5" t="s">
        <v>6</v>
      </c>
      <c r="F5" s="6">
        <v>11420</v>
      </c>
      <c r="G5" s="3"/>
      <c r="H5" s="7" t="s">
        <v>37</v>
      </c>
      <c r="I5" s="7" t="s">
        <v>5</v>
      </c>
      <c r="J5" s="7" t="s">
        <v>8</v>
      </c>
      <c r="K5" s="7" t="s">
        <v>9</v>
      </c>
      <c r="L5" s="7" t="s">
        <v>38</v>
      </c>
      <c r="M5" s="3"/>
      <c r="N5" s="12"/>
      <c r="O5" s="12"/>
      <c r="P5" s="3"/>
      <c r="Q5" s="3"/>
      <c r="R5" s="3"/>
    </row>
    <row r="6" spans="1:18" x14ac:dyDescent="0.3">
      <c r="A6" s="5" t="s">
        <v>21</v>
      </c>
      <c r="B6" s="8">
        <v>44574</v>
      </c>
      <c r="C6" s="5" t="s">
        <v>4</v>
      </c>
      <c r="D6" s="5" t="s">
        <v>8</v>
      </c>
      <c r="E6" s="5" t="s">
        <v>7</v>
      </c>
      <c r="F6" s="6">
        <v>12948</v>
      </c>
      <c r="G6" s="3"/>
      <c r="H6" s="9" t="s">
        <v>11</v>
      </c>
      <c r="I6" s="7">
        <v>9323</v>
      </c>
      <c r="J6" s="7">
        <v>10348</v>
      </c>
      <c r="K6" s="7">
        <v>1335531</v>
      </c>
      <c r="L6" s="7">
        <v>1355202</v>
      </c>
      <c r="M6" s="3"/>
      <c r="N6" s="12"/>
      <c r="O6" s="12"/>
      <c r="P6" s="3"/>
      <c r="Q6" s="3"/>
      <c r="R6" s="3"/>
    </row>
    <row r="7" spans="1:18" x14ac:dyDescent="0.3">
      <c r="A7" s="5" t="s">
        <v>22</v>
      </c>
      <c r="B7" s="8">
        <v>44605</v>
      </c>
      <c r="C7" s="5" t="s">
        <v>4</v>
      </c>
      <c r="D7" s="5" t="s">
        <v>9</v>
      </c>
      <c r="E7" s="5" t="s">
        <v>6</v>
      </c>
      <c r="F7" s="6">
        <v>20098</v>
      </c>
      <c r="G7" s="3"/>
      <c r="H7" s="9" t="s">
        <v>6</v>
      </c>
      <c r="I7" s="7">
        <v>108287</v>
      </c>
      <c r="J7" s="7">
        <v>11420</v>
      </c>
      <c r="K7" s="7">
        <v>20098</v>
      </c>
      <c r="L7" s="7">
        <v>139805</v>
      </c>
      <c r="M7" s="3"/>
      <c r="N7" s="12"/>
      <c r="O7" s="12"/>
      <c r="P7" s="3"/>
      <c r="Q7" s="3"/>
      <c r="R7" s="3"/>
    </row>
    <row r="8" spans="1:18" x14ac:dyDescent="0.3">
      <c r="A8" s="5" t="s">
        <v>23</v>
      </c>
      <c r="B8" s="8">
        <v>44633</v>
      </c>
      <c r="C8" s="5" t="s">
        <v>4</v>
      </c>
      <c r="D8" s="5" t="s">
        <v>9</v>
      </c>
      <c r="E8" s="5" t="s">
        <v>7</v>
      </c>
      <c r="F8" s="6">
        <v>30633</v>
      </c>
      <c r="G8" s="3"/>
      <c r="H8" s="9" t="s">
        <v>7</v>
      </c>
      <c r="I8" s="7">
        <v>6909</v>
      </c>
      <c r="J8" s="7">
        <v>12948</v>
      </c>
      <c r="K8" s="7">
        <v>30633</v>
      </c>
      <c r="L8" s="7">
        <v>50490</v>
      </c>
      <c r="M8" s="3"/>
      <c r="N8" s="12"/>
      <c r="O8" s="12"/>
      <c r="P8" s="3"/>
      <c r="Q8" s="3"/>
      <c r="R8" s="3"/>
    </row>
    <row r="9" spans="1:18" x14ac:dyDescent="0.3">
      <c r="A9" s="5" t="s">
        <v>24</v>
      </c>
      <c r="B9" s="8">
        <v>44664</v>
      </c>
      <c r="C9" s="5" t="s">
        <v>10</v>
      </c>
      <c r="D9" s="5" t="s">
        <v>5</v>
      </c>
      <c r="E9" s="5" t="s">
        <v>11</v>
      </c>
      <c r="F9" s="6">
        <v>9323</v>
      </c>
      <c r="G9" s="3"/>
      <c r="H9" s="9" t="s">
        <v>14</v>
      </c>
      <c r="I9" s="7">
        <v>4744</v>
      </c>
      <c r="J9" s="7">
        <v>1230711</v>
      </c>
      <c r="K9" s="7">
        <v>32855</v>
      </c>
      <c r="L9" s="7">
        <v>1268310</v>
      </c>
      <c r="M9" s="3"/>
      <c r="N9" s="12"/>
      <c r="O9" s="12"/>
      <c r="P9" s="3"/>
      <c r="Q9" s="3"/>
      <c r="R9" s="3"/>
    </row>
    <row r="10" spans="1:18" x14ac:dyDescent="0.3">
      <c r="A10" s="5" t="s">
        <v>25</v>
      </c>
      <c r="B10" s="8">
        <v>44694</v>
      </c>
      <c r="C10" s="5" t="s">
        <v>10</v>
      </c>
      <c r="D10" s="5" t="s">
        <v>5</v>
      </c>
      <c r="E10" s="5" t="s">
        <v>12</v>
      </c>
      <c r="F10" s="6">
        <v>7667</v>
      </c>
      <c r="G10" s="3"/>
      <c r="H10" s="9" t="s">
        <v>12</v>
      </c>
      <c r="I10" s="7">
        <v>7667</v>
      </c>
      <c r="J10" s="7">
        <v>9312</v>
      </c>
      <c r="K10" s="7">
        <v>13374</v>
      </c>
      <c r="L10" s="7">
        <v>30353</v>
      </c>
      <c r="M10" s="3"/>
      <c r="N10" s="12"/>
      <c r="O10" s="12"/>
      <c r="P10" s="3"/>
      <c r="Q10" s="3"/>
      <c r="R10" s="3"/>
    </row>
    <row r="11" spans="1:18" x14ac:dyDescent="0.3">
      <c r="A11" s="5" t="s">
        <v>26</v>
      </c>
      <c r="B11" s="8">
        <v>44725</v>
      </c>
      <c r="C11" s="5" t="s">
        <v>10</v>
      </c>
      <c r="D11" s="5" t="s">
        <v>8</v>
      </c>
      <c r="E11" s="5" t="s">
        <v>11</v>
      </c>
      <c r="F11" s="6">
        <v>10348</v>
      </c>
      <c r="G11" s="3"/>
      <c r="H11" s="9" t="s">
        <v>15</v>
      </c>
      <c r="I11" s="7">
        <v>523442</v>
      </c>
      <c r="J11" s="7">
        <v>8780</v>
      </c>
      <c r="K11" s="7">
        <v>23151</v>
      </c>
      <c r="L11" s="7">
        <v>555373</v>
      </c>
      <c r="M11" s="3"/>
      <c r="N11" s="12"/>
      <c r="O11" s="12"/>
      <c r="P11" s="3"/>
      <c r="Q11" s="3"/>
      <c r="R11" s="3"/>
    </row>
    <row r="12" spans="1:18" x14ac:dyDescent="0.3">
      <c r="A12" s="5" t="s">
        <v>27</v>
      </c>
      <c r="B12" s="8">
        <v>44755</v>
      </c>
      <c r="C12" s="5" t="s">
        <v>10</v>
      </c>
      <c r="D12" s="5" t="s">
        <v>8</v>
      </c>
      <c r="E12" s="5" t="s">
        <v>12</v>
      </c>
      <c r="F12" s="6">
        <v>9312</v>
      </c>
      <c r="G12" s="3"/>
      <c r="H12" s="9" t="s">
        <v>38</v>
      </c>
      <c r="I12" s="7">
        <v>660372</v>
      </c>
      <c r="J12" s="7">
        <v>1283519</v>
      </c>
      <c r="K12" s="7">
        <v>1455642</v>
      </c>
      <c r="L12" s="7">
        <v>3399533</v>
      </c>
      <c r="M12" s="3"/>
      <c r="N12" s="12"/>
      <c r="O12" s="12"/>
      <c r="P12" s="3"/>
      <c r="Q12" s="3"/>
      <c r="R12" s="3"/>
    </row>
    <row r="13" spans="1:18" x14ac:dyDescent="0.3">
      <c r="A13" s="5" t="s">
        <v>28</v>
      </c>
      <c r="B13" s="8">
        <v>44786</v>
      </c>
      <c r="C13" s="5" t="s">
        <v>10</v>
      </c>
      <c r="D13" s="5" t="s">
        <v>9</v>
      </c>
      <c r="E13" s="5" t="s">
        <v>11</v>
      </c>
      <c r="F13" s="6">
        <v>1335531</v>
      </c>
      <c r="G13" s="3"/>
      <c r="H13" s="3"/>
      <c r="I13" s="3"/>
      <c r="J13" s="3"/>
      <c r="K13" s="3"/>
      <c r="L13" s="3"/>
      <c r="M13" s="3"/>
      <c r="N13" s="12"/>
      <c r="O13" s="12"/>
      <c r="P13" s="3"/>
      <c r="Q13" s="3"/>
      <c r="R13" s="3"/>
    </row>
    <row r="14" spans="1:18" x14ac:dyDescent="0.3">
      <c r="A14" s="5" t="s">
        <v>29</v>
      </c>
      <c r="B14" s="8">
        <v>44817</v>
      </c>
      <c r="C14" s="5" t="s">
        <v>10</v>
      </c>
      <c r="D14" s="5" t="s">
        <v>9</v>
      </c>
      <c r="E14" s="5" t="s">
        <v>12</v>
      </c>
      <c r="F14" s="6">
        <v>13374</v>
      </c>
      <c r="G14" s="3"/>
      <c r="H14" s="3"/>
      <c r="I14" s="3"/>
      <c r="J14" s="3"/>
      <c r="K14" s="3"/>
      <c r="L14" s="3"/>
      <c r="M14" s="3"/>
      <c r="N14" s="12"/>
      <c r="O14" s="12"/>
      <c r="P14" s="3"/>
      <c r="Q14" s="3"/>
      <c r="R14" s="3"/>
    </row>
    <row r="15" spans="1:18" x14ac:dyDescent="0.3">
      <c r="A15" s="5" t="s">
        <v>30</v>
      </c>
      <c r="B15" s="8">
        <v>44847</v>
      </c>
      <c r="C15" s="5" t="s">
        <v>13</v>
      </c>
      <c r="D15" s="5" t="s">
        <v>5</v>
      </c>
      <c r="E15" s="5" t="s">
        <v>14</v>
      </c>
      <c r="F15" s="6">
        <v>4744</v>
      </c>
      <c r="G15" s="3"/>
      <c r="H15" s="3"/>
      <c r="I15" s="3"/>
      <c r="J15" s="3"/>
      <c r="K15" s="3"/>
      <c r="L15" s="3"/>
      <c r="M15" s="3"/>
      <c r="N15" s="12"/>
      <c r="O15" s="12"/>
      <c r="P15" s="3"/>
      <c r="Q15" s="3"/>
      <c r="R15" s="3"/>
    </row>
    <row r="16" spans="1:18" x14ac:dyDescent="0.3">
      <c r="A16" s="5" t="s">
        <v>31</v>
      </c>
      <c r="B16" s="8">
        <v>44878</v>
      </c>
      <c r="C16" s="5" t="s">
        <v>13</v>
      </c>
      <c r="D16" s="5" t="s">
        <v>5</v>
      </c>
      <c r="E16" s="5" t="s">
        <v>15</v>
      </c>
      <c r="F16" s="6">
        <v>523442</v>
      </c>
      <c r="G16" s="3"/>
      <c r="H16" s="3"/>
      <c r="I16" s="3"/>
      <c r="J16" s="3"/>
      <c r="K16" s="3"/>
      <c r="L16" s="3"/>
      <c r="M16" s="3"/>
      <c r="N16" s="12"/>
      <c r="O16" s="12"/>
      <c r="P16" s="3"/>
      <c r="Q16" s="3"/>
      <c r="R16" s="3"/>
    </row>
    <row r="17" spans="1:18" x14ac:dyDescent="0.3">
      <c r="A17" s="5" t="s">
        <v>32</v>
      </c>
      <c r="B17" s="8">
        <v>44908</v>
      </c>
      <c r="C17" s="5" t="s">
        <v>13</v>
      </c>
      <c r="D17" s="5" t="s">
        <v>8</v>
      </c>
      <c r="E17" s="5" t="s">
        <v>14</v>
      </c>
      <c r="F17" s="6">
        <v>1230711</v>
      </c>
      <c r="G17" s="3"/>
      <c r="H17" s="3"/>
      <c r="I17" s="3"/>
      <c r="J17" s="3"/>
      <c r="K17" s="3"/>
      <c r="L17" s="3"/>
      <c r="M17" s="3"/>
      <c r="N17" s="12"/>
      <c r="O17" s="12"/>
      <c r="P17" s="3"/>
      <c r="Q17" s="3"/>
      <c r="R17" s="3"/>
    </row>
    <row r="18" spans="1:18" x14ac:dyDescent="0.3">
      <c r="A18" s="5" t="s">
        <v>33</v>
      </c>
      <c r="B18" s="8">
        <v>44939</v>
      </c>
      <c r="C18" s="5" t="s">
        <v>13</v>
      </c>
      <c r="D18" s="5" t="s">
        <v>8</v>
      </c>
      <c r="E18" s="5" t="s">
        <v>15</v>
      </c>
      <c r="F18" s="6">
        <v>8780</v>
      </c>
      <c r="G18" s="3"/>
      <c r="H18" s="3"/>
      <c r="I18" s="3"/>
      <c r="J18" s="3"/>
      <c r="K18" s="3"/>
      <c r="L18" s="3"/>
      <c r="M18" s="3"/>
      <c r="N18" s="12"/>
      <c r="O18" s="12"/>
      <c r="P18" s="3"/>
      <c r="Q18" s="3"/>
      <c r="R18" s="3"/>
    </row>
    <row r="19" spans="1:18" x14ac:dyDescent="0.3">
      <c r="A19" s="5" t="s">
        <v>34</v>
      </c>
      <c r="B19" s="8">
        <v>44970</v>
      </c>
      <c r="C19" s="5" t="s">
        <v>13</v>
      </c>
      <c r="D19" s="5" t="s">
        <v>9</v>
      </c>
      <c r="E19" s="5" t="s">
        <v>14</v>
      </c>
      <c r="F19" s="6">
        <v>32855</v>
      </c>
      <c r="G19" s="3"/>
      <c r="H19" s="3"/>
      <c r="I19" s="3"/>
      <c r="J19" s="3"/>
      <c r="K19" s="3"/>
      <c r="L19" s="3"/>
      <c r="M19" s="3"/>
      <c r="N19" s="12"/>
      <c r="O19" s="12"/>
      <c r="P19" s="3"/>
      <c r="Q19" s="3"/>
      <c r="R19" s="3"/>
    </row>
    <row r="20" spans="1:18" x14ac:dyDescent="0.3">
      <c r="A20" s="5" t="s">
        <v>35</v>
      </c>
      <c r="B20" s="8">
        <v>44998</v>
      </c>
      <c r="C20" s="5" t="s">
        <v>13</v>
      </c>
      <c r="D20" s="5" t="s">
        <v>9</v>
      </c>
      <c r="E20" s="5" t="s">
        <v>15</v>
      </c>
      <c r="F20" s="6">
        <v>23151</v>
      </c>
      <c r="G20" s="3"/>
      <c r="H20" s="3"/>
      <c r="I20" s="3"/>
      <c r="J20" s="3"/>
      <c r="K20" s="3"/>
      <c r="L20" s="3"/>
      <c r="M20" s="3"/>
      <c r="N20" s="12"/>
      <c r="O20" s="12"/>
      <c r="P20" s="3"/>
      <c r="Q20" s="3"/>
      <c r="R20" s="3"/>
    </row>
    <row r="21" spans="1:18" x14ac:dyDescent="0.3">
      <c r="A21" s="5" t="s">
        <v>36</v>
      </c>
      <c r="B21" s="5"/>
      <c r="C21" s="5"/>
      <c r="D21" s="5"/>
      <c r="E21" s="5"/>
      <c r="F21" s="6">
        <f>SUBTOTAL(109,Tabla1[Ventas])</f>
        <v>3399533</v>
      </c>
      <c r="G21" s="3"/>
      <c r="H21" s="3"/>
      <c r="I21" s="3"/>
      <c r="J21" s="3"/>
      <c r="K21" s="3"/>
      <c r="L21" s="3"/>
      <c r="M21" s="3"/>
      <c r="N21" s="12"/>
      <c r="O21" s="12"/>
      <c r="P21" s="3"/>
      <c r="Q21" s="3"/>
      <c r="R21" s="3"/>
    </row>
    <row r="22" spans="1:18" x14ac:dyDescent="0.3">
      <c r="A22" s="3"/>
      <c r="B22" s="3"/>
      <c r="C22" s="3"/>
      <c r="D22" s="3"/>
      <c r="E22" s="3"/>
      <c r="F22" s="4"/>
      <c r="G22" s="3"/>
      <c r="H22" s="3"/>
      <c r="I22" s="3"/>
      <c r="J22" s="3"/>
      <c r="K22" s="3"/>
      <c r="L22" s="3"/>
      <c r="M22" s="3"/>
      <c r="N22" s="12"/>
      <c r="O22" s="12"/>
      <c r="P22" s="3"/>
      <c r="Q22" s="3"/>
      <c r="R22" s="3"/>
    </row>
    <row r="23" spans="1:18" x14ac:dyDescent="0.3">
      <c r="A23" s="3"/>
      <c r="B23" s="3" t="s">
        <v>37</v>
      </c>
      <c r="C23" s="3" t="s">
        <v>41</v>
      </c>
      <c r="D23" s="3"/>
      <c r="E23" s="3"/>
      <c r="F23" s="4"/>
      <c r="G23" s="3"/>
      <c r="H23" s="3"/>
      <c r="I23" s="3"/>
      <c r="J23" s="3"/>
      <c r="K23" s="3"/>
      <c r="L23" s="3"/>
      <c r="M23" s="3"/>
      <c r="N23" s="12"/>
      <c r="O23" s="12"/>
      <c r="P23" s="3"/>
      <c r="Q23" s="3"/>
      <c r="R23" s="3"/>
    </row>
    <row r="24" spans="1:18" x14ac:dyDescent="0.3">
      <c r="A24" s="3"/>
      <c r="B24" s="10" t="s">
        <v>5</v>
      </c>
      <c r="C24" s="11">
        <v>660372</v>
      </c>
      <c r="D24" s="3"/>
      <c r="E24" s="3"/>
      <c r="F24" s="4"/>
      <c r="G24" s="3"/>
      <c r="H24" s="3"/>
      <c r="I24" s="3"/>
      <c r="J24" s="3"/>
      <c r="K24" s="3"/>
      <c r="L24" s="3"/>
      <c r="M24" s="3"/>
      <c r="N24" s="12"/>
      <c r="O24" s="12"/>
      <c r="P24" s="3"/>
      <c r="Q24" s="3"/>
      <c r="R24" s="3"/>
    </row>
    <row r="25" spans="1:18" x14ac:dyDescent="0.3">
      <c r="A25" s="3"/>
      <c r="B25" s="10" t="s">
        <v>8</v>
      </c>
      <c r="C25" s="11">
        <v>1283519</v>
      </c>
      <c r="D25" s="3"/>
      <c r="E25" s="3"/>
      <c r="F25" s="4"/>
      <c r="G25" s="3"/>
      <c r="H25" s="3"/>
      <c r="I25" s="3"/>
      <c r="J25" s="3"/>
      <c r="K25" s="3"/>
      <c r="L25" s="3"/>
      <c r="M25" s="3"/>
      <c r="N25" s="12"/>
      <c r="O25" s="12"/>
      <c r="P25" s="3"/>
      <c r="Q25" s="3"/>
      <c r="R25" s="3"/>
    </row>
    <row r="26" spans="1:18" x14ac:dyDescent="0.3">
      <c r="A26" s="3"/>
      <c r="B26" s="10" t="s">
        <v>9</v>
      </c>
      <c r="C26" s="11">
        <v>1455642</v>
      </c>
      <c r="D26" s="3"/>
      <c r="E26" s="3"/>
      <c r="F26" s="4"/>
      <c r="G26" s="3"/>
      <c r="H26" s="3"/>
      <c r="I26" s="3"/>
      <c r="J26" s="3"/>
      <c r="K26" s="3"/>
      <c r="L26" s="3"/>
      <c r="M26" s="3"/>
      <c r="N26" s="12"/>
      <c r="O26" s="12"/>
      <c r="P26" s="3"/>
      <c r="Q26" s="3"/>
      <c r="R26" s="3"/>
    </row>
    <row r="27" spans="1:18" x14ac:dyDescent="0.3">
      <c r="A27" s="3"/>
      <c r="B27" s="10" t="s">
        <v>38</v>
      </c>
      <c r="C27" s="11">
        <v>3399533</v>
      </c>
      <c r="D27" s="3"/>
      <c r="E27" s="3"/>
      <c r="F27" s="4"/>
      <c r="G27" s="3"/>
      <c r="H27" s="3"/>
      <c r="I27" s="3"/>
      <c r="J27" s="3"/>
      <c r="K27" s="3"/>
      <c r="L27" s="3"/>
      <c r="M27" s="3"/>
      <c r="N27" s="12"/>
      <c r="O27" s="12"/>
      <c r="P27" s="3"/>
      <c r="Q27" s="3"/>
      <c r="R27" s="3"/>
    </row>
    <row r="28" spans="1:18" x14ac:dyDescent="0.3">
      <c r="A28" s="3"/>
      <c r="B28" s="3"/>
      <c r="C28" s="3"/>
      <c r="D28" s="3"/>
      <c r="E28" s="3"/>
      <c r="F28" s="4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  <row r="31" spans="1:18" ht="15" thickBot="1" x14ac:dyDescent="0.35">
      <c r="A31" s="13" t="s">
        <v>17</v>
      </c>
      <c r="B31" s="13" t="s">
        <v>16</v>
      </c>
      <c r="C31" s="13" t="s">
        <v>0</v>
      </c>
      <c r="D31" s="13" t="s">
        <v>1</v>
      </c>
      <c r="E31" s="13" t="s">
        <v>2</v>
      </c>
      <c r="F31" s="14" t="s">
        <v>3</v>
      </c>
      <c r="G31" s="13" t="s">
        <v>17</v>
      </c>
      <c r="H31" s="13" t="s">
        <v>16</v>
      </c>
      <c r="I31" s="13" t="s">
        <v>0</v>
      </c>
      <c r="J31" s="13" t="s">
        <v>1</v>
      </c>
      <c r="K31" s="13" t="s">
        <v>2</v>
      </c>
      <c r="L31" s="14" t="s">
        <v>3</v>
      </c>
    </row>
    <row r="32" spans="1:18" x14ac:dyDescent="0.3">
      <c r="A32" s="15" t="s">
        <v>18</v>
      </c>
      <c r="B32" s="16">
        <v>44482</v>
      </c>
      <c r="C32" s="17" t="s">
        <v>4</v>
      </c>
      <c r="D32" s="17" t="s">
        <v>5</v>
      </c>
      <c r="E32" s="17" t="s">
        <v>6</v>
      </c>
      <c r="F32" s="18">
        <v>108287</v>
      </c>
      <c r="G32" s="15" t="s">
        <v>18</v>
      </c>
      <c r="H32" s="16">
        <v>44482</v>
      </c>
      <c r="I32" s="17" t="s">
        <v>4</v>
      </c>
      <c r="J32" s="17" t="s">
        <v>5</v>
      </c>
      <c r="K32" s="17" t="s">
        <v>6</v>
      </c>
      <c r="L32" s="18">
        <v>108287</v>
      </c>
    </row>
    <row r="33" spans="1:12" x14ac:dyDescent="0.3">
      <c r="A33" s="13" t="s">
        <v>19</v>
      </c>
      <c r="B33" s="19">
        <v>44513</v>
      </c>
      <c r="C33" s="20" t="s">
        <v>4</v>
      </c>
      <c r="D33" s="20" t="s">
        <v>5</v>
      </c>
      <c r="E33" s="20" t="s">
        <v>7</v>
      </c>
      <c r="F33" s="14">
        <v>6909</v>
      </c>
      <c r="G33" s="13" t="s">
        <v>19</v>
      </c>
      <c r="H33" s="19">
        <v>44513</v>
      </c>
      <c r="I33" s="20" t="s">
        <v>4</v>
      </c>
      <c r="J33" s="20" t="s">
        <v>5</v>
      </c>
      <c r="K33" s="20" t="s">
        <v>7</v>
      </c>
      <c r="L33" s="14">
        <v>6909</v>
      </c>
    </row>
    <row r="34" spans="1:12" x14ac:dyDescent="0.3">
      <c r="A34" s="13" t="s">
        <v>20</v>
      </c>
      <c r="B34" s="19">
        <v>44543</v>
      </c>
      <c r="C34" s="20" t="s">
        <v>4</v>
      </c>
      <c r="D34" s="20" t="s">
        <v>8</v>
      </c>
      <c r="E34" s="20" t="s">
        <v>6</v>
      </c>
      <c r="F34" s="14">
        <v>11420</v>
      </c>
      <c r="G34" s="13" t="s">
        <v>20</v>
      </c>
      <c r="H34" s="19">
        <v>44543</v>
      </c>
      <c r="I34" s="20" t="s">
        <v>4</v>
      </c>
      <c r="J34" s="20" t="s">
        <v>8</v>
      </c>
      <c r="K34" s="20" t="s">
        <v>6</v>
      </c>
      <c r="L34" s="14">
        <v>11420</v>
      </c>
    </row>
    <row r="35" spans="1:12" x14ac:dyDescent="0.3">
      <c r="A35" s="13" t="s">
        <v>21</v>
      </c>
      <c r="B35" s="19">
        <v>44574</v>
      </c>
      <c r="C35" s="20" t="s">
        <v>4</v>
      </c>
      <c r="D35" s="20" t="s">
        <v>8</v>
      </c>
      <c r="E35" s="20" t="s">
        <v>7</v>
      </c>
      <c r="F35" s="14">
        <v>12948</v>
      </c>
      <c r="G35" s="13" t="s">
        <v>21</v>
      </c>
      <c r="H35" s="19">
        <v>44574</v>
      </c>
      <c r="I35" s="20" t="s">
        <v>4</v>
      </c>
      <c r="J35" s="20" t="s">
        <v>8</v>
      </c>
      <c r="K35" s="20" t="s">
        <v>7</v>
      </c>
      <c r="L35" s="14">
        <v>12948</v>
      </c>
    </row>
    <row r="36" spans="1:12" x14ac:dyDescent="0.3">
      <c r="A36" s="13" t="s">
        <v>22</v>
      </c>
      <c r="B36" s="19">
        <v>44605</v>
      </c>
      <c r="C36" s="20" t="s">
        <v>4</v>
      </c>
      <c r="D36" s="20" t="s">
        <v>9</v>
      </c>
      <c r="E36" s="20" t="s">
        <v>6</v>
      </c>
      <c r="F36" s="14">
        <v>20098</v>
      </c>
      <c r="G36" s="13" t="s">
        <v>22</v>
      </c>
      <c r="H36" s="19">
        <v>44605</v>
      </c>
      <c r="I36" s="20" t="s">
        <v>4</v>
      </c>
      <c r="J36" s="20" t="s">
        <v>9</v>
      </c>
      <c r="K36" s="20" t="s">
        <v>6</v>
      </c>
      <c r="L36" s="14">
        <v>20098</v>
      </c>
    </row>
    <row r="37" spans="1:12" x14ac:dyDescent="0.3">
      <c r="A37" s="13" t="s">
        <v>23</v>
      </c>
      <c r="B37" s="19">
        <v>44633</v>
      </c>
      <c r="C37" s="20" t="s">
        <v>4</v>
      </c>
      <c r="D37" s="20" t="s">
        <v>9</v>
      </c>
      <c r="E37" s="20" t="s">
        <v>7</v>
      </c>
      <c r="F37" s="14">
        <v>30633</v>
      </c>
      <c r="G37" s="13" t="s">
        <v>23</v>
      </c>
      <c r="H37" s="19">
        <v>44633</v>
      </c>
      <c r="I37" s="20" t="s">
        <v>4</v>
      </c>
      <c r="J37" s="20" t="s">
        <v>9</v>
      </c>
      <c r="K37" s="20" t="s">
        <v>7</v>
      </c>
      <c r="L37" s="14">
        <v>30633</v>
      </c>
    </row>
    <row r="38" spans="1:12" x14ac:dyDescent="0.3">
      <c r="A38" s="13" t="s">
        <v>24</v>
      </c>
      <c r="B38" s="19">
        <v>44664</v>
      </c>
      <c r="C38" s="20" t="s">
        <v>10</v>
      </c>
      <c r="D38" s="20" t="s">
        <v>5</v>
      </c>
      <c r="E38" s="20" t="s">
        <v>11</v>
      </c>
      <c r="F38" s="14">
        <v>9323</v>
      </c>
      <c r="G38" s="13" t="s">
        <v>24</v>
      </c>
      <c r="H38" s="19">
        <v>44664</v>
      </c>
      <c r="I38" s="20" t="s">
        <v>10</v>
      </c>
      <c r="J38" s="20" t="s">
        <v>5</v>
      </c>
      <c r="K38" s="20" t="s">
        <v>11</v>
      </c>
      <c r="L38" s="14">
        <v>9323</v>
      </c>
    </row>
    <row r="39" spans="1:12" x14ac:dyDescent="0.3">
      <c r="A39" s="13" t="s">
        <v>25</v>
      </c>
      <c r="B39" s="19">
        <v>44694</v>
      </c>
      <c r="C39" s="20" t="s">
        <v>10</v>
      </c>
      <c r="D39" s="20" t="s">
        <v>5</v>
      </c>
      <c r="E39" s="20" t="s">
        <v>12</v>
      </c>
      <c r="F39" s="14">
        <v>7667</v>
      </c>
      <c r="G39" s="13" t="s">
        <v>25</v>
      </c>
      <c r="H39" s="19">
        <v>44694</v>
      </c>
      <c r="I39" s="20" t="s">
        <v>10</v>
      </c>
      <c r="J39" s="20" t="s">
        <v>5</v>
      </c>
      <c r="K39" s="20" t="s">
        <v>12</v>
      </c>
      <c r="L39" s="14">
        <v>7667</v>
      </c>
    </row>
    <row r="40" spans="1:12" x14ac:dyDescent="0.3">
      <c r="A40" s="13" t="s">
        <v>26</v>
      </c>
      <c r="B40" s="19">
        <v>44725</v>
      </c>
      <c r="C40" s="20" t="s">
        <v>10</v>
      </c>
      <c r="D40" s="20" t="s">
        <v>8</v>
      </c>
      <c r="E40" s="20" t="s">
        <v>11</v>
      </c>
      <c r="F40" s="14">
        <v>10348</v>
      </c>
      <c r="G40" s="13" t="s">
        <v>26</v>
      </c>
      <c r="H40" s="19">
        <v>44725</v>
      </c>
      <c r="I40" s="20" t="s">
        <v>10</v>
      </c>
      <c r="J40" s="20" t="s">
        <v>8</v>
      </c>
      <c r="K40" s="20" t="s">
        <v>11</v>
      </c>
      <c r="L40" s="14">
        <v>10348</v>
      </c>
    </row>
    <row r="41" spans="1:12" x14ac:dyDescent="0.3">
      <c r="A41" s="13" t="s">
        <v>27</v>
      </c>
      <c r="B41" s="19">
        <v>44755</v>
      </c>
      <c r="C41" s="20" t="s">
        <v>10</v>
      </c>
      <c r="D41" s="20" t="s">
        <v>8</v>
      </c>
      <c r="E41" s="20" t="s">
        <v>12</v>
      </c>
      <c r="F41" s="14">
        <v>9312</v>
      </c>
      <c r="G41" s="13" t="s">
        <v>27</v>
      </c>
      <c r="H41" s="19">
        <v>44755</v>
      </c>
      <c r="I41" s="20" t="s">
        <v>10</v>
      </c>
      <c r="J41" s="20" t="s">
        <v>8</v>
      </c>
      <c r="K41" s="20" t="s">
        <v>12</v>
      </c>
      <c r="L41" s="14">
        <v>9312</v>
      </c>
    </row>
    <row r="42" spans="1:12" x14ac:dyDescent="0.3">
      <c r="A42" s="13" t="s">
        <v>28</v>
      </c>
      <c r="B42" s="19">
        <v>44786</v>
      </c>
      <c r="C42" s="20" t="s">
        <v>10</v>
      </c>
      <c r="D42" s="20" t="s">
        <v>9</v>
      </c>
      <c r="E42" s="20" t="s">
        <v>11</v>
      </c>
      <c r="F42" s="14">
        <v>1335531</v>
      </c>
      <c r="G42" s="13" t="s">
        <v>28</v>
      </c>
      <c r="H42" s="19">
        <v>44786</v>
      </c>
      <c r="I42" s="20" t="s">
        <v>10</v>
      </c>
      <c r="J42" s="20" t="s">
        <v>9</v>
      </c>
      <c r="K42" s="20" t="s">
        <v>11</v>
      </c>
      <c r="L42" s="14">
        <v>1335531</v>
      </c>
    </row>
    <row r="43" spans="1:12" x14ac:dyDescent="0.3">
      <c r="A43" s="13" t="s">
        <v>29</v>
      </c>
      <c r="B43" s="19">
        <v>44817</v>
      </c>
      <c r="C43" s="20" t="s">
        <v>10</v>
      </c>
      <c r="D43" s="20" t="s">
        <v>9</v>
      </c>
      <c r="E43" s="20" t="s">
        <v>12</v>
      </c>
      <c r="F43" s="14">
        <v>13374</v>
      </c>
      <c r="G43" s="13" t="s">
        <v>29</v>
      </c>
      <c r="H43" s="19">
        <v>44817</v>
      </c>
      <c r="I43" s="20" t="s">
        <v>10</v>
      </c>
      <c r="J43" s="20" t="s">
        <v>9</v>
      </c>
      <c r="K43" s="20" t="s">
        <v>12</v>
      </c>
      <c r="L43" s="14">
        <v>13374</v>
      </c>
    </row>
    <row r="44" spans="1:12" x14ac:dyDescent="0.3">
      <c r="A44" s="13" t="s">
        <v>30</v>
      </c>
      <c r="B44" s="19">
        <v>44847</v>
      </c>
      <c r="C44" s="20" t="s">
        <v>13</v>
      </c>
      <c r="D44" s="20" t="s">
        <v>5</v>
      </c>
      <c r="E44" s="20" t="s">
        <v>14</v>
      </c>
      <c r="F44" s="14">
        <v>4744</v>
      </c>
      <c r="G44" s="13" t="s">
        <v>30</v>
      </c>
      <c r="H44" s="19">
        <v>44847</v>
      </c>
      <c r="I44" s="20" t="s">
        <v>13</v>
      </c>
      <c r="J44" s="20" t="s">
        <v>5</v>
      </c>
      <c r="K44" s="20" t="s">
        <v>14</v>
      </c>
      <c r="L44" s="14">
        <v>4744</v>
      </c>
    </row>
    <row r="45" spans="1:12" x14ac:dyDescent="0.3">
      <c r="A45" s="13" t="s">
        <v>31</v>
      </c>
      <c r="B45" s="19">
        <v>44878</v>
      </c>
      <c r="C45" s="20" t="s">
        <v>13</v>
      </c>
      <c r="D45" s="20" t="s">
        <v>5</v>
      </c>
      <c r="E45" s="20" t="s">
        <v>15</v>
      </c>
      <c r="F45" s="14">
        <v>523442</v>
      </c>
      <c r="G45" s="13" t="s">
        <v>31</v>
      </c>
      <c r="H45" s="19">
        <v>44878</v>
      </c>
      <c r="I45" s="20" t="s">
        <v>13</v>
      </c>
      <c r="J45" s="20" t="s">
        <v>5</v>
      </c>
      <c r="K45" s="20" t="s">
        <v>15</v>
      </c>
      <c r="L45" s="14">
        <v>523442</v>
      </c>
    </row>
    <row r="46" spans="1:12" x14ac:dyDescent="0.3">
      <c r="A46" s="13" t="s">
        <v>32</v>
      </c>
      <c r="B46" s="19">
        <v>44908</v>
      </c>
      <c r="C46" s="20" t="s">
        <v>13</v>
      </c>
      <c r="D46" s="20" t="s">
        <v>8</v>
      </c>
      <c r="E46" s="20" t="s">
        <v>14</v>
      </c>
      <c r="F46" s="14">
        <v>1230711</v>
      </c>
      <c r="G46" s="13" t="s">
        <v>32</v>
      </c>
      <c r="H46" s="19">
        <v>44908</v>
      </c>
      <c r="I46" s="20" t="s">
        <v>13</v>
      </c>
      <c r="J46" s="20" t="s">
        <v>8</v>
      </c>
      <c r="K46" s="20" t="s">
        <v>14</v>
      </c>
      <c r="L46" s="14">
        <v>1230711</v>
      </c>
    </row>
    <row r="47" spans="1:12" x14ac:dyDescent="0.3">
      <c r="A47" s="13" t="s">
        <v>33</v>
      </c>
      <c r="B47" s="19">
        <v>44939</v>
      </c>
      <c r="C47" s="20" t="s">
        <v>13</v>
      </c>
      <c r="D47" s="20" t="s">
        <v>8</v>
      </c>
      <c r="E47" s="20" t="s">
        <v>15</v>
      </c>
      <c r="F47" s="14">
        <v>8780</v>
      </c>
      <c r="G47" s="13" t="s">
        <v>33</v>
      </c>
      <c r="H47" s="19">
        <v>44939</v>
      </c>
      <c r="I47" s="20" t="s">
        <v>13</v>
      </c>
      <c r="J47" s="20" t="s">
        <v>8</v>
      </c>
      <c r="K47" s="20" t="s">
        <v>15</v>
      </c>
      <c r="L47" s="14">
        <v>8780</v>
      </c>
    </row>
    <row r="48" spans="1:12" x14ac:dyDescent="0.3">
      <c r="A48" s="13" t="s">
        <v>34</v>
      </c>
      <c r="B48" s="19">
        <v>44970</v>
      </c>
      <c r="C48" s="20" t="s">
        <v>13</v>
      </c>
      <c r="D48" s="20" t="s">
        <v>9</v>
      </c>
      <c r="E48" s="20" t="s">
        <v>14</v>
      </c>
      <c r="F48" s="14">
        <v>32855</v>
      </c>
      <c r="G48" s="13" t="s">
        <v>34</v>
      </c>
      <c r="H48" s="19">
        <v>44970</v>
      </c>
      <c r="I48" s="20" t="s">
        <v>13</v>
      </c>
      <c r="J48" s="20" t="s">
        <v>9</v>
      </c>
      <c r="K48" s="20" t="s">
        <v>14</v>
      </c>
      <c r="L48" s="14">
        <v>32855</v>
      </c>
    </row>
    <row r="49" spans="1:12" ht="15" thickBot="1" x14ac:dyDescent="0.35">
      <c r="A49" s="13" t="s">
        <v>35</v>
      </c>
      <c r="B49" s="19">
        <v>44998</v>
      </c>
      <c r="C49" s="20" t="s">
        <v>13</v>
      </c>
      <c r="D49" s="20" t="s">
        <v>9</v>
      </c>
      <c r="E49" s="20" t="s">
        <v>15</v>
      </c>
      <c r="F49" s="14">
        <v>23151</v>
      </c>
      <c r="G49" s="13" t="s">
        <v>35</v>
      </c>
      <c r="H49" s="19">
        <v>44998</v>
      </c>
      <c r="I49" s="20" t="s">
        <v>13</v>
      </c>
      <c r="J49" s="20" t="s">
        <v>9</v>
      </c>
      <c r="K49" s="20" t="s">
        <v>15</v>
      </c>
      <c r="L49" s="14">
        <v>23151</v>
      </c>
    </row>
    <row r="50" spans="1:12" ht="15" thickTop="1" x14ac:dyDescent="0.3">
      <c r="A50" s="21" t="s">
        <v>36</v>
      </c>
      <c r="B50" s="21"/>
      <c r="C50" s="21"/>
      <c r="D50" s="21"/>
      <c r="E50" s="21"/>
      <c r="F50" s="22">
        <f>SUBTOTAL(109,'Informe Ventas Embajada Rusia'!$F$32:$F$49)</f>
        <v>3399533</v>
      </c>
      <c r="G50" s="21" t="s">
        <v>36</v>
      </c>
      <c r="H50" s="21"/>
      <c r="I50" s="21"/>
      <c r="J50" s="21"/>
      <c r="K50" s="21"/>
      <c r="L50" s="22">
        <f>SUBTOTAL(109,'Informe Ventas Embajada Rusia'!$F$32:$F$49)</f>
        <v>3399533</v>
      </c>
    </row>
    <row r="52" spans="1:12" x14ac:dyDescent="0.3">
      <c r="B52" t="s">
        <v>41</v>
      </c>
      <c r="D52" t="s">
        <v>41</v>
      </c>
      <c r="F52"/>
    </row>
    <row r="53" spans="1:12" x14ac:dyDescent="0.3">
      <c r="B53" s="1">
        <v>3399533</v>
      </c>
      <c r="D53" s="1">
        <v>6799066</v>
      </c>
      <c r="F53"/>
    </row>
    <row r="54" spans="1:12" x14ac:dyDescent="0.3">
      <c r="F54"/>
    </row>
    <row r="55" spans="1:12" x14ac:dyDescent="0.3">
      <c r="F55"/>
    </row>
    <row r="56" spans="1:12" x14ac:dyDescent="0.3">
      <c r="F56"/>
    </row>
    <row r="57" spans="1:12" x14ac:dyDescent="0.3">
      <c r="F57"/>
    </row>
    <row r="58" spans="1:12" x14ac:dyDescent="0.3">
      <c r="F58"/>
    </row>
    <row r="59" spans="1:12" x14ac:dyDescent="0.3">
      <c r="F59"/>
    </row>
    <row r="60" spans="1:12" x14ac:dyDescent="0.3">
      <c r="F60"/>
    </row>
    <row r="61" spans="1:12" x14ac:dyDescent="0.3">
      <c r="F61"/>
    </row>
    <row r="62" spans="1:12" x14ac:dyDescent="0.3">
      <c r="F62"/>
    </row>
    <row r="63" spans="1:12" x14ac:dyDescent="0.3">
      <c r="F63"/>
    </row>
    <row r="64" spans="1:12" x14ac:dyDescent="0.3">
      <c r="F64"/>
    </row>
    <row r="65" spans="6:6" x14ac:dyDescent="0.3">
      <c r="F65"/>
    </row>
    <row r="66" spans="6:6" x14ac:dyDescent="0.3">
      <c r="F66"/>
    </row>
    <row r="67" spans="6:6" x14ac:dyDescent="0.3">
      <c r="F67"/>
    </row>
    <row r="68" spans="6:6" x14ac:dyDescent="0.3">
      <c r="F68"/>
    </row>
    <row r="69" spans="6:6" x14ac:dyDescent="0.3">
      <c r="F69"/>
    </row>
    <row r="70" spans="6:6" x14ac:dyDescent="0.3">
      <c r="F70"/>
    </row>
    <row r="71" spans="6:6" x14ac:dyDescent="0.3">
      <c r="F71"/>
    </row>
    <row r="72" spans="6:6" x14ac:dyDescent="0.3">
      <c r="F72"/>
    </row>
  </sheetData>
  <mergeCells count="1">
    <mergeCell ref="N3:O27"/>
  </mergeCells>
  <phoneticPr fontId="1" type="noConversion"/>
  <conditionalFormatting sqref="F2:F21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:F2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1:F50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2:F5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1:L50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32:L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5"/>
  <drawing r:id="rId6"/>
  <tableParts count="1">
    <tablePart r:id="rId7"/>
  </tableParts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span" xr2:uid="{954B33D1-F739-48C2-BBEF-C851F59045C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'Informe Ventas Embajada Rusia'!F32:F32</xm:f>
              <xm:sqref>F54</xm:sqref>
            </x14:sparkline>
            <x14:sparkline>
              <xm:f>'Informe Ventas Embajada Rusia'!F33:F33</xm:f>
              <xm:sqref>F55</xm:sqref>
            </x14:sparkline>
            <x14:sparkline>
              <xm:f>'Informe Ventas Embajada Rusia'!F34:F34</xm:f>
              <xm:sqref>F56</xm:sqref>
            </x14:sparkline>
            <x14:sparkline>
              <xm:f>'Informe Ventas Embajada Rusia'!F35:F35</xm:f>
              <xm:sqref>F57</xm:sqref>
            </x14:sparkline>
            <x14:sparkline>
              <xm:f>'Informe Ventas Embajada Rusia'!F36:F36</xm:f>
              <xm:sqref>F58</xm:sqref>
            </x14:sparkline>
            <x14:sparkline>
              <xm:f>'Informe Ventas Embajada Rusia'!F37:F37</xm:f>
              <xm:sqref>F59</xm:sqref>
            </x14:sparkline>
            <x14:sparkline>
              <xm:f>'Informe Ventas Embajada Rusia'!F38:F38</xm:f>
              <xm:sqref>F60</xm:sqref>
            </x14:sparkline>
            <x14:sparkline>
              <xm:f>'Informe Ventas Embajada Rusia'!F39:F39</xm:f>
              <xm:sqref>F61</xm:sqref>
            </x14:sparkline>
            <x14:sparkline>
              <xm:f>'Informe Ventas Embajada Rusia'!F40:F40</xm:f>
              <xm:sqref>F62</xm:sqref>
            </x14:sparkline>
            <x14:sparkline>
              <xm:f>'Informe Ventas Embajada Rusia'!F41:F41</xm:f>
              <xm:sqref>F63</xm:sqref>
            </x14:sparkline>
            <x14:sparkline>
              <xm:f>'Informe Ventas Embajada Rusia'!F42:F42</xm:f>
              <xm:sqref>F64</xm:sqref>
            </x14:sparkline>
            <x14:sparkline>
              <xm:f>'Informe Ventas Embajada Rusia'!F43:F43</xm:f>
              <xm:sqref>F65</xm:sqref>
            </x14:sparkline>
            <x14:sparkline>
              <xm:f>'Informe Ventas Embajada Rusia'!F44:F44</xm:f>
              <xm:sqref>F66</xm:sqref>
            </x14:sparkline>
            <x14:sparkline>
              <xm:f>'Informe Ventas Embajada Rusia'!F45:F45</xm:f>
              <xm:sqref>F67</xm:sqref>
            </x14:sparkline>
            <x14:sparkline>
              <xm:f>'Informe Ventas Embajada Rusia'!F46:F46</xm:f>
              <xm:sqref>F68</xm:sqref>
            </x14:sparkline>
            <x14:sparkline>
              <xm:f>'Informe Ventas Embajada Rusia'!F47:F47</xm:f>
              <xm:sqref>F69</xm:sqref>
            </x14:sparkline>
            <x14:sparkline>
              <xm:f>'Informe Ventas Embajada Rusia'!F48:F48</xm:f>
              <xm:sqref>F70</xm:sqref>
            </x14:sparkline>
            <x14:sparkline>
              <xm:f>'Informe Ventas Embajada Rusia'!F49:F49</xm:f>
              <xm:sqref>F71</xm:sqref>
            </x14:sparkline>
            <x14:sparkline>
              <xm:f>'Informe Ventas Embajada Rusia'!F50:F50</xm:f>
              <xm:sqref>F72</xm:sqref>
            </x14:sparkline>
          </x14:sparklines>
        </x14:sparklineGroup>
      </x14:sparklineGroups>
    </ext>
    <ext xmlns:x15="http://schemas.microsoft.com/office/spreadsheetml/2010/11/main" uri="{7E03D99C-DC04-49d9-9315-930204A7B6E9}">
      <x15:timelineRefs>
        <x15:timelineRef r:id="rId8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117CB0-40C6-4248-A1E6-B917754803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Tabla1</vt:lpstr>
      <vt:lpstr>Informe Ventas Embajada Rusia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Ventas</dc:title>
  <dc:creator>Javier Gomez</dc:creator>
  <cp:keywords>datdata.com.mx</cp:keywords>
  <cp:lastModifiedBy>Vicente Chavalos Herrera</cp:lastModifiedBy>
  <dcterms:created xsi:type="dcterms:W3CDTF">2019-07-13T22:11:28Z</dcterms:created>
  <dcterms:modified xsi:type="dcterms:W3CDTF">2022-10-16T16:15:25Z</dcterms:modified>
</cp:coreProperties>
</file>